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mcga\Downloads\"/>
    </mc:Choice>
  </mc:AlternateContent>
  <xr:revisionPtr revIDLastSave="0" documentId="13_ncr:1_{9142ECFC-01B4-4253-BDF6-64D0ED75AE45}" xr6:coauthVersionLast="45" xr6:coauthVersionMax="45" xr10:uidLastSave="{00000000-0000-0000-0000-000000000000}"/>
  <bookViews>
    <workbookView xWindow="-108" yWindow="-108" windowWidth="23256" windowHeight="12576" xr2:uid="{16C2F863-8C70-4D96-B902-9D5286A20B79}"/>
  </bookViews>
  <sheets>
    <sheet name="Sheet1" sheetId="1" r:id="rId1"/>
  </sheet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9" i="1" l="1"/>
  <c r="B11" i="1"/>
  <c r="C11" i="1"/>
  <c r="D11" i="1"/>
  <c r="E11" i="1"/>
  <c r="F11" i="1"/>
  <c r="B12" i="1"/>
  <c r="C12" i="1"/>
  <c r="F12" i="1"/>
  <c r="B13" i="1"/>
  <c r="D13" i="1"/>
  <c r="B14" i="1"/>
  <c r="C14" i="1"/>
  <c r="D14" i="1"/>
  <c r="E14" i="1"/>
  <c r="F14" i="1"/>
  <c r="B15" i="1"/>
  <c r="C15" i="1"/>
  <c r="F15" i="1"/>
  <c r="C18" i="1"/>
  <c r="C19" i="1"/>
  <c r="C20" i="1"/>
  <c r="C21" i="1"/>
  <c r="C22" i="1"/>
  <c r="D12" i="1"/>
  <c r="E12" i="1"/>
  <c r="C13" i="1"/>
  <c r="D15" i="1"/>
  <c r="E15" i="1"/>
  <c r="E13" i="1"/>
  <c r="F13" i="1"/>
  <c r="C25" i="1" a="1"/>
  <c r="C25" i="1"/>
  <c r="I29" i="1"/>
  <c r="I28" i="1"/>
  <c r="I27" i="1"/>
  <c r="I26" i="1"/>
  <c r="Q3" i="1"/>
  <c r="Q5" i="1"/>
  <c r="Q6" i="1"/>
  <c r="P4" i="1"/>
  <c r="S4" i="1"/>
  <c r="Q4" i="1"/>
  <c r="R4" i="1"/>
  <c r="R3" i="1"/>
  <c r="R6" i="1"/>
  <c r="P5" i="1"/>
  <c r="S5" i="1"/>
  <c r="R5" i="1"/>
  <c r="S3" i="1"/>
  <c r="S6" i="1"/>
  <c r="F28" i="1"/>
  <c r="F27" i="1"/>
  <c r="F26" i="1"/>
  <c r="P6" i="1"/>
  <c r="P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<sst xmlns="http://schemas.openxmlformats.org/spreadsheetml/2006/main" count="67" uniqueCount="61">
  <si>
    <t>Line</t>
  </si>
  <si>
    <t>R</t>
  </si>
  <si>
    <t>X</t>
  </si>
  <si>
    <t>Bus</t>
  </si>
  <si>
    <t>V</t>
  </si>
  <si>
    <t>Pg</t>
  </si>
  <si>
    <t>Qg</t>
  </si>
  <si>
    <t>Pl</t>
  </si>
  <si>
    <t>Ql</t>
  </si>
  <si>
    <t>NA</t>
  </si>
  <si>
    <t>Ybus</t>
  </si>
  <si>
    <t>.</t>
  </si>
  <si>
    <t>Jacobian</t>
  </si>
  <si>
    <t>1 (slack)</t>
  </si>
  <si>
    <t>2 (load)</t>
  </si>
  <si>
    <t>3 (load)</t>
  </si>
  <si>
    <r>
      <t xml:space="preserve">4 </t>
    </r>
    <r>
      <rPr>
        <sz val="8"/>
        <color theme="1"/>
        <rFont val="Calibri"/>
        <family val="2"/>
        <scheme val="minor"/>
      </rPr>
      <t>(V control)</t>
    </r>
  </si>
  <si>
    <t>Y (Shunt Admittance)</t>
  </si>
  <si>
    <t>Bus Data:</t>
  </si>
  <si>
    <t>(in pu)</t>
  </si>
  <si>
    <t>𝛿</t>
  </si>
  <si>
    <t>(overflow)</t>
  </si>
  <si>
    <t>(overflow</t>
  </si>
  <si>
    <t>ΔP2=</t>
  </si>
  <si>
    <t>ΔP3=</t>
  </si>
  <si>
    <t>ΔP4=</t>
  </si>
  <si>
    <t>ΔQ2=</t>
  </si>
  <si>
    <t>ΔQ3=</t>
  </si>
  <si>
    <t>Δ𝛿2=</t>
  </si>
  <si>
    <t>Δ𝛿3=</t>
  </si>
  <si>
    <t>Δ𝛿4=</t>
  </si>
  <si>
    <t>ΔV2=</t>
  </si>
  <si>
    <t>ΔV3=</t>
  </si>
  <si>
    <t>V1 new =</t>
  </si>
  <si>
    <t>V2 new =</t>
  </si>
  <si>
    <t>V3 new =</t>
  </si>
  <si>
    <t>V4 new=</t>
  </si>
  <si>
    <t>New Vs</t>
  </si>
  <si>
    <t>New 𝛿s</t>
  </si>
  <si>
    <t>𝛿1new=</t>
  </si>
  <si>
    <t>𝛿2new=</t>
  </si>
  <si>
    <t>𝛿3new=</t>
  </si>
  <si>
    <t>𝛿4new=</t>
  </si>
  <si>
    <t>Iteration 1</t>
  </si>
  <si>
    <t>Iteration 2</t>
  </si>
  <si>
    <t>Iteration 3</t>
  </si>
  <si>
    <t>Iteration 4</t>
  </si>
  <si>
    <t>Iteration 5</t>
  </si>
  <si>
    <t>Initial</t>
  </si>
  <si>
    <t>𝛿s:</t>
  </si>
  <si>
    <t>Vs:</t>
  </si>
  <si>
    <t>Instructions:</t>
  </si>
  <si>
    <t>This sheet uses the Newto Raphson Iterative Method to solve for the voltages and voltage angles</t>
  </si>
  <si>
    <t>highlighted in yellow in the upper right. That table contains the initial values of the line, you may</t>
  </si>
  <si>
    <t>change any of them. The table to the right of that contains the intrinsic parameters of the line,</t>
  </si>
  <si>
    <t>Below, are shown the iterations of the voltages and angles.</t>
  </si>
  <si>
    <t>You can see they often converge after 3 to 4 iterations.</t>
  </si>
  <si>
    <t>which can also be changed. Press the button to the left to run the method, and you will see the values</t>
  </si>
  <si>
    <t>"converge" as they are solved for.</t>
  </si>
  <si>
    <t>The Newton Raphson method is a linear approximator that uses the derivatives to approximate closer and closer solutions.</t>
  </si>
  <si>
    <t xml:space="preserve">We combine this with bus equations solving for reactive and real power, to apply it to power flow analysis.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</si>
</sst>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1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1" fillId="0" borderId="0" xfId="0" applyFont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3" fillId="0" borderId="0" xfId="0" applyFont="1"/>
    <xf numFmtId="0" fontId="5" fillId="0" borderId="0" xfId="0" applyFont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11" xfId="0" applyBorder="1" applyAlignment="1">
      <alignment horizontal="left"/>
    </xf>
    <xf numFmtId="0" fontId="4" fillId="0" borderId="13" xfId="0" applyFont="1" applyBorder="1"/>
    <xf numFmtId="2" fontId="0" fillId="0" borderId="10" xfId="0" applyNumberFormat="1" applyBorder="1" applyAlignment="1">
      <alignment horizontal="left" vertical="top"/>
    </xf>
    <xf numFmtId="0" fontId="2" fillId="0" borderId="0" xfId="0" applyFont="1"/>
    <xf numFmtId="0" fontId="6" fillId="0" borderId="0" xfId="0" applyFont="1"/>
    <xf numFmtId="0" fontId="0" fillId="0" borderId="0" xfId="0" applyAlignment="1">
      <alignment horizontal="right"/>
    </xf>
    <xf numFmtId="0" fontId="6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0" xfId="0" applyBorder="1" applyAlignment="1">
      <alignment horizontal="center"/>
    </xf>
    <xf numFmtId="0" fontId="4" fillId="2" borderId="9" xfId="0" applyFont="1" applyFill="1" applyBorder="1"/>
    <xf numFmtId="0" fontId="4" fillId="2" borderId="0" xfId="0" applyFont="1" applyFill="1"/>
    <xf numFmtId="0" fontId="4" fillId="2" borderId="13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</xdr:colOff>
          <xdr:row>12</xdr:row>
          <xdr:rowOff>0</xdr:rowOff>
        </xdr:from>
        <xdr:to>
          <xdr:col>8</xdr:col>
          <xdr:colOff>861060</xdr:colOff>
          <xdr:row>13</xdr:row>
          <xdr:rowOff>175260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D9996E9A-A204-48A9-A783-458950E768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Method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3967D6-4EF8-414C-98CC-ECF0B3F990AF}">
  <sheetPr codeName="Sheet1"/>
  <dimension ref="A1:T34"/>
  <sheetViews>
    <sheetView tabSelected="1" workbookViewId="0">
      <selection activeCell="C5" sqref="C5"/>
    </sheetView>
  </sheetViews>
  <sheetFormatPr defaultRowHeight="14.4" x14ac:dyDescent="0.3"/>
  <cols>
    <col min="9" max="9" width="12.6640625" bestFit="1" customWidth="1"/>
  </cols>
  <sheetData>
    <row r="1" spans="1:20" ht="15" thickBot="1" x14ac:dyDescent="0.35"/>
    <row r="2" spans="1:20" ht="15" thickBot="1" x14ac:dyDescent="0.35">
      <c r="A2" t="s">
        <v>18</v>
      </c>
      <c r="B2" s="1" t="s">
        <v>3</v>
      </c>
      <c r="C2" s="16" t="s">
        <v>4</v>
      </c>
      <c r="D2" s="16" t="s">
        <v>20</v>
      </c>
      <c r="E2" s="16" t="s">
        <v>5</v>
      </c>
      <c r="F2" s="16" t="s">
        <v>6</v>
      </c>
      <c r="G2" s="16" t="s">
        <v>7</v>
      </c>
      <c r="H2" s="17" t="s">
        <v>8</v>
      </c>
      <c r="J2" s="1" t="s">
        <v>0</v>
      </c>
      <c r="K2" s="16" t="s">
        <v>1</v>
      </c>
      <c r="L2" s="16" t="s">
        <v>2</v>
      </c>
      <c r="M2" s="28" t="s">
        <v>17</v>
      </c>
      <c r="N2" s="29"/>
      <c r="P2" s="27" t="s">
        <v>10</v>
      </c>
      <c r="Q2" s="28"/>
      <c r="R2" s="28"/>
      <c r="S2" s="29"/>
    </row>
    <row r="3" spans="1:20" x14ac:dyDescent="0.3">
      <c r="A3" t="s">
        <v>19</v>
      </c>
      <c r="B3" s="18" t="s">
        <v>13</v>
      </c>
      <c r="C3" s="3">
        <v>1.05</v>
      </c>
      <c r="D3" s="4">
        <v>0</v>
      </c>
      <c r="E3" s="4" t="s">
        <v>9</v>
      </c>
      <c r="F3" s="4" t="s">
        <v>9</v>
      </c>
      <c r="G3" s="4">
        <v>0.5</v>
      </c>
      <c r="H3" s="5">
        <v>0.1</v>
      </c>
      <c r="J3" s="2">
        <v>12</v>
      </c>
      <c r="K3" s="3">
        <v>0.02</v>
      </c>
      <c r="L3" s="4">
        <v>0.1</v>
      </c>
      <c r="M3" s="32">
        <v>0.08</v>
      </c>
      <c r="N3" s="33"/>
      <c r="P3" s="3" t="str">
        <f>IMSUM(IMPRODUCT(-1,Q3),IMPRODUCT(-1,R3),IMDIV(COMPLEX(0,M3),2),IMDIV(COMPLEX(0,Q34),2))</f>
        <v>4.48717948717948-22.3958974358974i</v>
      </c>
      <c r="Q3" s="4" t="str">
        <f>IMPRODUCT(-1,IMDIV(1,COMPLEX(K3,L3)))</f>
        <v>-1.92307692307692+9.61538461538461i</v>
      </c>
      <c r="R3" s="4" t="str">
        <f>IMPRODUCT(-1,IMDIV(1,COMPLEX(K4,L4)))</f>
        <v>-2.56410256410256+12.8205128205128i</v>
      </c>
      <c r="S3" s="5">
        <f>0</f>
        <v>0</v>
      </c>
    </row>
    <row r="4" spans="1:20" x14ac:dyDescent="0.3">
      <c r="B4" s="19" t="s">
        <v>14</v>
      </c>
      <c r="C4" s="36">
        <v>0.98671434120345125</v>
      </c>
      <c r="D4" s="37">
        <v>-9.6246988554306759E-2</v>
      </c>
      <c r="E4">
        <v>0</v>
      </c>
      <c r="F4">
        <v>0</v>
      </c>
      <c r="G4">
        <v>1.7</v>
      </c>
      <c r="H4" s="9">
        <v>1</v>
      </c>
      <c r="J4" s="6">
        <v>13</v>
      </c>
      <c r="K4" s="7">
        <v>1.4999999999999999E-2</v>
      </c>
      <c r="L4">
        <v>7.4999999999999997E-2</v>
      </c>
      <c r="M4" s="34">
        <v>0.06</v>
      </c>
      <c r="N4" s="35"/>
      <c r="P4" s="7" t="str">
        <f>IMPRODUCT(-1,IMDIV(1,COMPLEX(K3,L3)))</f>
        <v>-1.92307692307692+9.61538461538461i</v>
      </c>
      <c r="Q4" t="str">
        <f>IMSUM(IMPRODUCT(-1,P4),IMPRODUCT(-1,S4),IMDIV(COMPLEX(0,M3),2),IMDIV(COMPLEX(M122,M6),2))</f>
        <v>4.48717948717948-22.3658974358974i</v>
      </c>
      <c r="R4">
        <f>0</f>
        <v>0</v>
      </c>
      <c r="S4" s="22" t="str">
        <f>IMPRODUCT(-1,IMDIV(1,COMPLEX(K6,L6)))</f>
        <v>-2.56410256410256+12.8205128205128i</v>
      </c>
      <c r="T4" s="23" t="s">
        <v>21</v>
      </c>
    </row>
    <row r="5" spans="1:20" x14ac:dyDescent="0.3">
      <c r="B5" s="19" t="s">
        <v>15</v>
      </c>
      <c r="C5" s="36">
        <v>0.97863715207440538</v>
      </c>
      <c r="D5" s="37">
        <v>-0.11467184407794456</v>
      </c>
      <c r="E5">
        <v>0</v>
      </c>
      <c r="F5">
        <v>0</v>
      </c>
      <c r="G5">
        <v>3</v>
      </c>
      <c r="H5" s="9">
        <v>1.5</v>
      </c>
      <c r="J5" s="6">
        <v>34</v>
      </c>
      <c r="K5" s="7">
        <v>0.01</v>
      </c>
      <c r="L5">
        <v>0.05</v>
      </c>
      <c r="M5" s="34">
        <v>0.04</v>
      </c>
      <c r="N5" s="35"/>
      <c r="P5" s="7" t="str">
        <f>IMPRODUCT(-1,IMDIV(1,COMPLEX(K4,L4)))</f>
        <v>-2.56410256410256+12.8205128205128i</v>
      </c>
      <c r="Q5">
        <f>0</f>
        <v>0</v>
      </c>
      <c r="R5" t="str">
        <f>IMSUM(IMPRODUCT(-1,P5),IMPRODUCT(-1,S5),IMDIV(COMPLEX(0,M4),2),IMDIV(COMPLEX(0,M5),2))</f>
        <v>6.41025641025641-32.001282051282i</v>
      </c>
      <c r="S5" s="9" t="str">
        <f>IMPRODUCT(-1,IMDIV(1,COMPLEX(K5, L5)))</f>
        <v>-3.84615384615385+19.2307692307692i</v>
      </c>
      <c r="T5" s="23" t="s">
        <v>22</v>
      </c>
    </row>
    <row r="6" spans="1:20" ht="15" thickBot="1" x14ac:dyDescent="0.35">
      <c r="B6" s="20" t="s">
        <v>16</v>
      </c>
      <c r="C6" s="11">
        <v>1.04</v>
      </c>
      <c r="D6" s="38">
        <v>-5.8357434639534647E-2</v>
      </c>
      <c r="E6" s="12">
        <v>2</v>
      </c>
      <c r="F6" s="21">
        <v>0</v>
      </c>
      <c r="G6" s="12">
        <v>0</v>
      </c>
      <c r="H6" s="13">
        <v>0</v>
      </c>
      <c r="J6" s="10">
        <v>24</v>
      </c>
      <c r="K6" s="11">
        <v>1.4999999999999999E-2</v>
      </c>
      <c r="L6" s="12">
        <v>7.4999999999999997E-2</v>
      </c>
      <c r="M6" s="30">
        <v>0.06</v>
      </c>
      <c r="N6" s="31"/>
      <c r="P6" s="11">
        <f>0</f>
        <v>0</v>
      </c>
      <c r="Q6" s="12" t="str">
        <f>IMPRODUCT(-1,IMDIV(1,COMPLEX(K6,L6)))</f>
        <v>-2.56410256410256+12.8205128205128i</v>
      </c>
      <c r="R6" s="12" t="str">
        <f>IMPRODUCT(-1,IMDIV(1,COMPLEX(K5,L5)))</f>
        <v>-3.84615384615385+19.2307692307692i</v>
      </c>
      <c r="S6" s="13" t="str">
        <f>IMSUM(IMPRODUCT(-1,Q6),IMPRODUCT(-1,R6),IMDIV(COMPLEX(0,M6),2),IMDIV(COMPLEX(0,M5),2))</f>
        <v>6.41025641025641-32.001282051282i</v>
      </c>
      <c r="T6" s="23" t="s">
        <v>21</v>
      </c>
    </row>
    <row r="7" spans="1:20" x14ac:dyDescent="0.3">
      <c r="F7" s="8"/>
    </row>
    <row r="9" spans="1:20" ht="15" thickBot="1" x14ac:dyDescent="0.35"/>
    <row r="10" spans="1:20" ht="15" thickBot="1" x14ac:dyDescent="0.35">
      <c r="B10" s="27" t="s">
        <v>12</v>
      </c>
      <c r="C10" s="28"/>
      <c r="D10" s="28"/>
      <c r="E10" s="28"/>
      <c r="F10" s="29"/>
    </row>
    <row r="11" spans="1:20" x14ac:dyDescent="0.3">
      <c r="B11" s="3">
        <f>C4*(C3*IMABS(Q3)*SIN(D4-D3-IMARGUMENT(Q3))+IMABS(Q5)*C5*SIN(D4-D5)+C6*IMABS(Q6)*SIN(D4-D6-IMARGUMENT(Q6)))</f>
        <v>-22.771523067746447</v>
      </c>
      <c r="C11" s="4">
        <f>-C4*C5*IMABS(Q5)*SIN(D4-D5)</f>
        <v>0</v>
      </c>
      <c r="D11" s="4">
        <f>-C4*C6*IMABS(Q6)*SIN(D4-D6-IMARGUMENT(Q6))</f>
        <v>13.047076120721751</v>
      </c>
      <c r="E11" s="4">
        <f>-(C4*IMABS(Q4)*COS(IMARGUMENT(Q4))) - (IMABS(Q3)*C3*COS(D4-D3-IMARGUMENT(Q3)) + IMABS(Q4)*C4*COS(D4-D4-IMARGUMENT(Q4))+ IMABS(Q5)*C5*COS(D4-D5) + IMABS(Q6)*C6*COS(D4-D6-IMARGUMENT(Q6)))</f>
        <v>-2.7051925102453511</v>
      </c>
      <c r="F11" s="5">
        <f>-C4*IMABS(Q5)*COS(D4-D5)</f>
        <v>0</v>
      </c>
    </row>
    <row r="12" spans="1:20" x14ac:dyDescent="0.3">
      <c r="B12" s="7">
        <f>-C5*C4*IMABS(R4)*SIN(D5-D4)</f>
        <v>0</v>
      </c>
      <c r="C12">
        <f>C5*(C3*IMABS(R3)*SIN(D5-D3-IMARGUMENT(R3))+IMABS(R4)*C4*SIN(D5-D4)+C6*IMABS(R6)*SIN(D5-D6-IMARGUMENT(R6)))</f>
        <v>-32.107351999394439</v>
      </c>
      <c r="D12">
        <f>-C5*C6*IMABS(R6)*SIN(D5-D6-IMARGUMENT(R6))</f>
        <v>19.321386603570435</v>
      </c>
      <c r="E12">
        <f>-C5*IMABS(R4)*COS(D5-D4)</f>
        <v>0</v>
      </c>
      <c r="F12" s="9">
        <f>-(C5*IMABS(R5)*COS(IMARGUMENT(R5))) - (IMABS(R3)*C3*COS(D5-D3-IMARGUMENT(R3)) + IMABS(R4)*C4*COS(D5-D4)+ IMABS(R5)*C5*COS(D5-D5-IMARGUMENT(R5)) + C6*IMABS(R6)*COS(D5-D6-IMARGUMENT(R6)))</f>
        <v>-3.2123738985035803</v>
      </c>
      <c r="K12" t="s">
        <v>51</v>
      </c>
    </row>
    <row r="13" spans="1:20" x14ac:dyDescent="0.3">
      <c r="B13" s="7">
        <f>-C6*C4*IMABS(S4)*SIN(D6-D4-IMARGUMENT(S4))</f>
        <v>13.246421302024242</v>
      </c>
      <c r="C13">
        <f>-C6*C5*IMABS(S5)*SIN(D6-D5-IMARGUMENT(S5))</f>
        <v>19.762044592842532</v>
      </c>
      <c r="D13">
        <f>C6*(C3*IMABS(S3)*SIN(D6-D3)+IMABS(S4)*C4*SIN(D6-D4-IMARGUMENT(S4))+C5*IMABS(S5)*SIN(D6-D5-IMARGUMENT(S5)))</f>
        <v>-33.008465894866774</v>
      </c>
      <c r="E13">
        <f>-C6*IMABS(S4)*COS(D6-D4-IMARGUMENT(S4))</f>
        <v>2.1596795546918868</v>
      </c>
      <c r="F13" s="9">
        <f>-C6*IMABS(S5)*COS(D6-D5-IMARGUMENT(S5))</f>
        <v>2.8679660694586682</v>
      </c>
      <c r="K13" t="s">
        <v>52</v>
      </c>
    </row>
    <row r="14" spans="1:20" x14ac:dyDescent="0.3">
      <c r="B14" s="7">
        <f>-C4*(C3*IMABS(Q3)*COS(D4-D3-IMARGUMENT(Q3))+IMABS(Q5)*C5*COS(D4-D5)+C6*IMABS(Q6)*COS(D4-D6-IMARGUMENT(Q6)))</f>
        <v>6.0682302389836167</v>
      </c>
      <c r="C14">
        <f>C4*C5*IMABS(Q5)*COS(D4-D5)</f>
        <v>0</v>
      </c>
      <c r="D14">
        <f>C4*C6*IMABS(Q6)*COS(D4-D6-IMARGUMENT(Q6))</f>
        <v>-3.1277126955308265</v>
      </c>
      <c r="E14">
        <f>(C4*IMABS(Q4)*SIN(IMARGUMENT(Q4))) - (IMABS(Q3)*C3*SIN(D4-D3-IMARGUMENT(Q3)) + IMABS(Q4)*C4*SIN(D4-D4-IMARGUMENT(Q4))+ IMABS(Q5)*C5*SIN(D4-D5) + IMABS(Q6)*C6*SIN(D4-D6-IMARGUMENT(Q6)))</f>
        <v>-21.059372262639691</v>
      </c>
      <c r="F14" s="9">
        <f>-C4*IMABS(Q5)*SIN(D4-D5)</f>
        <v>0</v>
      </c>
      <c r="K14" t="s">
        <v>53</v>
      </c>
    </row>
    <row r="15" spans="1:20" ht="15" thickBot="1" x14ac:dyDescent="0.35">
      <c r="B15" s="11">
        <f>C5*C4*IMABS(R4)*COS(D5-D4)</f>
        <v>0</v>
      </c>
      <c r="C15" s="12">
        <f>-C5*(C3*IMABS(R3)*COS(D5-D3-IMARGUMENT(R3))+IMABS(R4)*C4*COS(D5-D4)+C6*IMABS(R6)*COS(D5-D6-IMARGUMENT(R6)))</f>
        <v>9.1348499593946908</v>
      </c>
      <c r="D15" s="12">
        <f>C5*C6*IMABS(R6)*COS(D5-D6-IMARGUMENT(R6))</f>
        <v>-5.0099880928215477</v>
      </c>
      <c r="E15" s="12">
        <f>-C5*IMABS(R4)*SIN(D5-D4)</f>
        <v>0</v>
      </c>
      <c r="F15" s="13">
        <f>(C5*IMABS(R5)*SIN(IMARGUMENT(R5))) - (IMABS(R3)*C3*SIN(D5-D3-IMARGUMENT(R3)) + IMABS(R4)*C4*SIN(D5-D4)+ IMABS(R5)*C5*SIN(D5-D5-IMARGUMENT(R5)) + C6*IMABS(R6)*SIN(D5-D6-IMARGUMENT(R6)))</f>
        <v>-29.827057848061447</v>
      </c>
      <c r="K15" t="s">
        <v>54</v>
      </c>
    </row>
    <row r="16" spans="1:20" x14ac:dyDescent="0.3">
      <c r="K16" t="s">
        <v>57</v>
      </c>
    </row>
    <row r="17" spans="2:16" ht="15" thickBot="1" x14ac:dyDescent="0.35">
      <c r="K17" t="s">
        <v>58</v>
      </c>
    </row>
    <row r="18" spans="2:16" x14ac:dyDescent="0.3">
      <c r="B18" t="s">
        <v>23</v>
      </c>
      <c r="C18" s="2">
        <f>E4-G4-C4*(IMABS(Q3)*C3*COS(D4-D3-IMARGUMENT(Q3)) + IMABS(Q4)*C4*COS(D4-D4-IMARGUMENT(Q4))+ IMABS(Q5)*C5*COS(D4-D5) + IMABS(Q6)*C6*COS(D4-D6-IMARGUMENT(Q6)))</f>
        <v>-5.1100329581776904E-4</v>
      </c>
    </row>
    <row r="19" spans="2:16" x14ac:dyDescent="0.3">
      <c r="B19" t="s">
        <v>24</v>
      </c>
      <c r="C19" s="6">
        <f>E5-G5-C5*(IMABS(R3)*C3*COS(D5-D3-IMARGUMENT(R3)) + IMABS(R4)*C4*COS(D5-D4)+ IMABS(R5)*C5*COS(D5-D5-IMARGUMENT(R5)) + C6*IMABS(R6)*COS(D5-D6-IMARGUMENT(R6)))</f>
        <v>-4.4492420175039626E-3</v>
      </c>
      <c r="K19" t="s">
        <v>59</v>
      </c>
    </row>
    <row r="20" spans="2:16" x14ac:dyDescent="0.3">
      <c r="B20" t="s">
        <v>25</v>
      </c>
      <c r="C20" s="6">
        <f>E6-G6-C6*( IMABS(S4)*C4*COS(D6-D4-IMARGUMENT(S4))+ IMABS(S5)*C5*COS(D6-D5-IMARGUMENT(S5)) + C6*IMABS(S6)*COS(D6-D6-IMARGUMENT(S6)))</f>
        <v>4.3516021460947574E-3</v>
      </c>
      <c r="K20" t="s">
        <v>60</v>
      </c>
    </row>
    <row r="21" spans="2:16" x14ac:dyDescent="0.3">
      <c r="B21" t="s">
        <v>26</v>
      </c>
      <c r="C21" s="6">
        <f>F4-H4-C4*(IMABS(Q3)*C3*SIN(D4-D3-IMARGUMENT(Q3)) + IMABS(Q4)*C4*SIN(D4-D4-IMARGUMENT(Q4))+ IMABS(Q5)*C5*SIN(D4-D5) + IMABS(Q6)*C6*SIN(D4-D6-IMARGUMENT(Q6)))</f>
        <v>-4.0307802711532226E-3</v>
      </c>
    </row>
    <row r="22" spans="2:16" ht="15" thickBot="1" x14ac:dyDescent="0.35">
      <c r="B22" t="s">
        <v>27</v>
      </c>
      <c r="C22" s="10">
        <f>F5-H5-C5*(IMABS(R3)*C3*SIN(D5-D3-IMARGUMENT(R3)) + IMABS(R4)*C4*SIN(D5-D4)+ IMABS(R5)*C5*SIN(D5-D5-IMARGUMENT(R5)) + C6*IMABS(R6)*SIN(D5-D6-IMARGUMENT(R6)))</f>
        <v>-4.1257473895478514E-2</v>
      </c>
      <c r="K22" t="s">
        <v>55</v>
      </c>
    </row>
    <row r="23" spans="2:16" x14ac:dyDescent="0.3">
      <c r="K23" t="s">
        <v>56</v>
      </c>
    </row>
    <row r="24" spans="2:16" ht="15" thickBot="1" x14ac:dyDescent="0.35"/>
    <row r="25" spans="2:16" ht="15" thickBot="1" x14ac:dyDescent="0.35">
      <c r="B25" t="s">
        <v>28</v>
      </c>
      <c r="C25" s="2" cm="1">
        <f t="array" ref="C25:C29">MMULT(MINVERSE(B11:F15),-(C18:C22))</f>
        <v>-9.150063402183967E-7</v>
      </c>
      <c r="D25" s="23" t="s">
        <v>11</v>
      </c>
      <c r="F25" t="s">
        <v>37</v>
      </c>
      <c r="I25" t="s">
        <v>38</v>
      </c>
      <c r="K25" s="26" t="s">
        <v>48</v>
      </c>
      <c r="L25" s="24" t="s">
        <v>43</v>
      </c>
      <c r="M25" s="24" t="s">
        <v>44</v>
      </c>
      <c r="N25" s="24" t="s">
        <v>45</v>
      </c>
      <c r="O25" s="24" t="s">
        <v>46</v>
      </c>
      <c r="P25" s="24" t="s">
        <v>47</v>
      </c>
    </row>
    <row r="26" spans="2:16" x14ac:dyDescent="0.3">
      <c r="B26" t="s">
        <v>29</v>
      </c>
      <c r="C26" s="6">
        <v>-1.4395890784370691E-6</v>
      </c>
      <c r="D26" s="23" t="s">
        <v>11</v>
      </c>
      <c r="E26" t="s">
        <v>33</v>
      </c>
      <c r="F26" s="2">
        <f>C3</f>
        <v>1.05</v>
      </c>
      <c r="H26" t="s">
        <v>39</v>
      </c>
      <c r="I26" s="2">
        <f>D3</f>
        <v>0</v>
      </c>
      <c r="J26" s="25" t="s">
        <v>49</v>
      </c>
      <c r="K26" s="2">
        <v>1.05</v>
      </c>
      <c r="L26" s="2">
        <v>0</v>
      </c>
      <c r="M26" s="2">
        <v>0</v>
      </c>
      <c r="N26" s="2">
        <v>0</v>
      </c>
      <c r="O26" s="2">
        <v>0</v>
      </c>
      <c r="P26" s="2">
        <v>0</v>
      </c>
    </row>
    <row r="27" spans="2:16" x14ac:dyDescent="0.3">
      <c r="B27" t="s">
        <v>30</v>
      </c>
      <c r="C27" s="6">
        <v>-2.1059047601391039E-6</v>
      </c>
      <c r="D27" s="23" t="s">
        <v>11</v>
      </c>
      <c r="E27" t="s">
        <v>34</v>
      </c>
      <c r="F27" s="6">
        <f>C28+C4</f>
        <v>0.98652298953232898</v>
      </c>
      <c r="H27" t="s">
        <v>40</v>
      </c>
      <c r="I27" s="6">
        <f>C25+D4</f>
        <v>-9.6247903560646983E-2</v>
      </c>
      <c r="K27" s="6">
        <v>4</v>
      </c>
      <c r="L27" s="6">
        <v>2.3880926611392503E-2</v>
      </c>
      <c r="M27" s="6">
        <v>-3.8798296292655035E-2</v>
      </c>
      <c r="N27" s="6">
        <v>-8.6129793735443938E-2</v>
      </c>
      <c r="O27" s="6">
        <v>-9.5939614082336172E-2</v>
      </c>
      <c r="P27" s="6">
        <v>-9.6247903560646983E-2</v>
      </c>
    </row>
    <row r="28" spans="2:16" x14ac:dyDescent="0.3">
      <c r="B28" t="s">
        <v>31</v>
      </c>
      <c r="C28" s="6">
        <v>-1.9135167112226267E-4</v>
      </c>
      <c r="D28" s="23" t="s">
        <v>11</v>
      </c>
      <c r="E28" t="s">
        <v>35</v>
      </c>
      <c r="F28" s="6">
        <f>C29+C5</f>
        <v>0.97725384186063513</v>
      </c>
      <c r="G28" s="15"/>
      <c r="H28" t="s">
        <v>41</v>
      </c>
      <c r="I28" s="6">
        <f>C26+D5</f>
        <v>-0.11467328366702299</v>
      </c>
      <c r="K28" s="6">
        <v>5</v>
      </c>
      <c r="L28" s="6">
        <v>2.1632699052095208E-2</v>
      </c>
      <c r="M28" s="6">
        <v>-4.6731067745321278E-2</v>
      </c>
      <c r="N28" s="6">
        <v>-0.10176926309371562</v>
      </c>
      <c r="O28" s="6">
        <v>-0.11424446323315868</v>
      </c>
      <c r="P28" s="6">
        <v>-0.11467328366702299</v>
      </c>
    </row>
    <row r="29" spans="2:16" ht="15" thickBot="1" x14ac:dyDescent="0.35">
      <c r="B29" t="s">
        <v>32</v>
      </c>
      <c r="C29" s="10">
        <v>-1.3833102137702773E-3</v>
      </c>
      <c r="D29" s="23" t="s">
        <v>11</v>
      </c>
      <c r="E29" t="s">
        <v>36</v>
      </c>
      <c r="F29" s="10">
        <f>C6</f>
        <v>1.04</v>
      </c>
      <c r="H29" t="s">
        <v>42</v>
      </c>
      <c r="I29" s="10">
        <f>C27+D6</f>
        <v>-5.8359540544294784E-2</v>
      </c>
      <c r="K29" s="10">
        <v>1.04</v>
      </c>
      <c r="L29" s="10">
        <v>0.12231235283574492</v>
      </c>
      <c r="M29" s="10">
        <v>2.9885555265057928E-2</v>
      </c>
      <c r="N29" s="10">
        <v>-4.2096145866034357E-2</v>
      </c>
      <c r="O29" s="10">
        <v>-5.7838432799947562E-2</v>
      </c>
      <c r="P29" s="10">
        <v>-5.8359540544294784E-2</v>
      </c>
    </row>
    <row r="30" spans="2:16" ht="15" thickBot="1" x14ac:dyDescent="0.35"/>
    <row r="31" spans="2:16" x14ac:dyDescent="0.3">
      <c r="J31" s="25" t="s">
        <v>50</v>
      </c>
      <c r="K31" s="2">
        <v>-5.8360228894848001E-2</v>
      </c>
      <c r="L31" s="2">
        <v>1.05</v>
      </c>
      <c r="M31" s="2">
        <v>1.05</v>
      </c>
      <c r="N31" s="2">
        <v>1.05</v>
      </c>
      <c r="O31" s="2">
        <v>1.05</v>
      </c>
      <c r="P31" s="2">
        <v>1.05</v>
      </c>
    </row>
    <row r="32" spans="2:16" x14ac:dyDescent="0.3">
      <c r="F32" s="14"/>
      <c r="K32" s="6">
        <v>-0.11467387027745156</v>
      </c>
      <c r="L32" s="6">
        <v>1.4690657225351822</v>
      </c>
      <c r="M32" s="6">
        <v>1.1099843554374189</v>
      </c>
      <c r="N32" s="6">
        <v>0.99972446697558714</v>
      </c>
      <c r="O32" s="6">
        <v>0.98671434120345125</v>
      </c>
      <c r="P32" s="6">
        <v>0.98652298953232898</v>
      </c>
    </row>
    <row r="33" spans="11:16" x14ac:dyDescent="0.3">
      <c r="K33" s="6">
        <v>-9.6248294916371588E-2</v>
      </c>
      <c r="L33" s="6">
        <v>1.699879417228185</v>
      </c>
      <c r="M33" s="6">
        <v>1.1995605138303094</v>
      </c>
      <c r="N33" s="6">
        <v>1.0140222500169667</v>
      </c>
      <c r="O33" s="6">
        <v>0.97863781488425849</v>
      </c>
      <c r="P33" s="6">
        <v>0.97725384186063513</v>
      </c>
    </row>
    <row r="34" spans="11:16" ht="15" thickBot="1" x14ac:dyDescent="0.35">
      <c r="K34" s="10">
        <v>0</v>
      </c>
      <c r="L34" s="10">
        <v>1.04</v>
      </c>
      <c r="M34" s="10">
        <v>1.04</v>
      </c>
      <c r="N34" s="10">
        <v>1.04</v>
      </c>
      <c r="O34" s="10">
        <v>1.04</v>
      </c>
      <c r="P34" s="10">
        <v>1.04</v>
      </c>
    </row>
  </sheetData>
  <mergeCells count="7">
    <mergeCell ref="B10:F10"/>
    <mergeCell ref="M6:N6"/>
    <mergeCell ref="P2:S2"/>
    <mergeCell ref="M2:N2"/>
    <mergeCell ref="M3:N3"/>
    <mergeCell ref="M4:N4"/>
    <mergeCell ref="M5:N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69">
                <anchor moveWithCells="1">
                  <from>
                    <xdr:col>8</xdr:col>
                    <xdr:colOff>7620</xdr:colOff>
                    <xdr:row>12</xdr:row>
                    <xdr:rowOff>0</xdr:rowOff>
                  </from>
                  <to>
                    <xdr:col>8</xdr:col>
                    <xdr:colOff>861060</xdr:colOff>
                    <xdr:row>13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Conor McGarigle</dc:creator>
  <cp:lastModifiedBy>Conor McGarigle</cp:lastModifiedBy>
  <dcterms:created xsi:type="dcterms:W3CDTF">2020-12-05T23:31:36Z</dcterms:created>
  <dcterms:modified xsi:type="dcterms:W3CDTF">2020-12-15T21:48:33Z</dcterms:modified>
</cp:coreProperties>
</file>